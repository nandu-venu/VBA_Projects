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on\OneDrive - UW-Madison\Study\Excel &amp; VBA\3. Capstone\5. Monte Carlo Simulation\"/>
    </mc:Choice>
  </mc:AlternateContent>
  <xr:revisionPtr revIDLastSave="19488" documentId="8_{1F99C93D-B033-47FA-A9DD-B596891201D7}" xr6:coauthVersionLast="36" xr6:coauthVersionMax="45" xr10:uidLastSave="{0AC24D0D-796D-464D-81B4-542438CA6ABC}"/>
  <bookViews>
    <workbookView xWindow="-110" yWindow="-110" windowWidth="23260" windowHeight="12580" xr2:uid="{00000000-000D-0000-FFFF-FFFF00000000}"/>
  </bookViews>
  <sheets>
    <sheet name="Main" sheetId="1" r:id="rId1"/>
    <sheet name="Histogram" sheetId="85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L10" i="1" l="1"/>
  <c r="M10" i="1" s="1"/>
  <c r="N10" i="1" s="1"/>
  <c r="K12" i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<sst xmlns="http://schemas.openxmlformats.org/spreadsheetml/2006/main" count="28" uniqueCount="23">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</sst>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-28</c:v>
                </c:pt>
                <c:pt idx="1">
                  <c:v>-20</c:v>
                </c:pt>
                <c:pt idx="2">
                  <c:v>-12</c:v>
                </c:pt>
                <c:pt idx="3">
                  <c:v>-4</c:v>
                </c:pt>
                <c:pt idx="4">
                  <c:v>4</c:v>
                </c:pt>
                <c:pt idx="5">
                  <c:v>12</c:v>
                </c:pt>
                <c:pt idx="6">
                  <c:v>20</c:v>
                </c:pt>
                <c:pt idx="7">
                  <c:v>28</c:v>
                </c:pt>
                <c:pt idx="8">
                  <c:v>36</c:v>
                </c:pt>
                <c:pt idx="9">
                  <c:v>44</c:v>
                </c:pt>
                <c:pt idx="10">
                  <c:v>52</c:v>
                </c:pt>
                <c:pt idx="11">
                  <c:v>60</c:v>
                </c:pt>
                <c:pt idx="12">
                  <c:v>68</c:v>
                </c:pt>
                <c:pt idx="13">
                  <c:v>76</c:v>
                </c:pt>
                <c:pt idx="14">
                  <c:v>84</c:v>
                </c:pt>
                <c:pt idx="15">
                  <c:v>92</c:v>
                </c:pt>
                <c:pt idx="16">
                  <c:v>100</c:v>
                </c:pt>
                <c:pt idx="17">
                  <c:v>108</c:v>
                </c:pt>
                <c:pt idx="18">
                  <c:v>116</c:v>
                </c:pt>
                <c:pt idx="19">
                  <c:v>124</c:v>
                </c:pt>
                <c:pt idx="20">
                  <c:v>132</c:v>
                </c:pt>
                <c:pt idx="21">
                  <c:v>140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3</c:v>
                </c:pt>
                <c:pt idx="1">
                  <c:v>11</c:v>
                </c:pt>
                <c:pt idx="2">
                  <c:v>11</c:v>
                </c:pt>
                <c:pt idx="3">
                  <c:v>27</c:v>
                </c:pt>
                <c:pt idx="4">
                  <c:v>35</c:v>
                </c:pt>
                <c:pt idx="5">
                  <c:v>68</c:v>
                </c:pt>
                <c:pt idx="6">
                  <c:v>96</c:v>
                </c:pt>
                <c:pt idx="7">
                  <c:v>90</c:v>
                </c:pt>
                <c:pt idx="8">
                  <c:v>100</c:v>
                </c:pt>
                <c:pt idx="9">
                  <c:v>105</c:v>
                </c:pt>
                <c:pt idx="10">
                  <c:v>106</c:v>
                </c:pt>
                <c:pt idx="11">
                  <c:v>85</c:v>
                </c:pt>
                <c:pt idx="12">
                  <c:v>70</c:v>
                </c:pt>
                <c:pt idx="13">
                  <c:v>62</c:v>
                </c:pt>
                <c:pt idx="14">
                  <c:v>48</c:v>
                </c:pt>
                <c:pt idx="15">
                  <c:v>36</c:v>
                </c:pt>
                <c:pt idx="16">
                  <c:v>18</c:v>
                </c:pt>
                <c:pt idx="17">
                  <c:v>15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1-4BE7-B9E6-DA0AFCECB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400991"/>
        <c:axId val="1087381887"/>
      </c:barChart>
      <c:catAx>
        <c:axId val="108540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381887"/>
        <c:crosses val="autoZero"/>
        <c:auto val="1"/>
        <c:lblAlgn val="ctr"/>
        <c:lblOffset val="100"/>
        <c:noMultiLvlLbl val="0"/>
      </c:catAx>
      <c:valAx>
        <c:axId val="108738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400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3D6721-8F35-427D-B4F2-FE7A2930E102}">
  <sheetPr/>
  <sheetViews>
    <sheetView zoomScale="6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889000</xdr:colOff>
          <xdr:row>25</xdr:row>
          <xdr:rowOff>82550</xdr:rowOff>
        </xdr:from>
        <xdr:to>
          <xdr:col>4</xdr:col>
          <xdr:colOff>406400</xdr:colOff>
          <xdr:row>27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171450</xdr:rowOff>
        </xdr:from>
        <xdr:to>
          <xdr:col>10</xdr:col>
          <xdr:colOff>520700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2C23AD4-D20F-4489-8824-16986FE8C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8254" cy="62895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502AAC-596C-4E8D-9921-C74740FB64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J5" sqref="J5"/>
    </sheetView>
  </sheetViews>
  <sheetFormatPr defaultRowHeight="14.5" x14ac:dyDescent="0.35"/>
  <cols>
    <col min="1" max="1" width="19.08984375" bestFit="1" customWidth="1"/>
    <col min="2" max="2" width="11.81640625" bestFit="1" customWidth="1"/>
    <col min="3" max="3" width="13.08984375" customWidth="1"/>
    <col min="4" max="4" width="9.81640625" bestFit="1" customWidth="1"/>
    <col min="5" max="5" width="10.453125" bestFit="1" customWidth="1"/>
    <col min="6" max="6" width="10.81640625" customWidth="1"/>
    <col min="7" max="7" width="11.90625" bestFit="1" customWidth="1"/>
    <col min="8" max="8" width="11" customWidth="1"/>
    <col min="9" max="9" width="9.1796875" bestFit="1" customWidth="1"/>
    <col min="10" max="10" width="9.08984375" bestFit="1" customWidth="1"/>
  </cols>
  <sheetData>
    <row r="1" spans="1:16" x14ac:dyDescent="0.35">
      <c r="A1" t="s">
        <v>0</v>
      </c>
    </row>
    <row r="2" spans="1:16" ht="15" thickBot="1" x14ac:dyDescent="0.4"/>
    <row r="3" spans="1:16" x14ac:dyDescent="0.35">
      <c r="A3" t="s">
        <v>1</v>
      </c>
      <c r="B3" s="5">
        <v>-10</v>
      </c>
      <c r="D3" t="s">
        <v>2</v>
      </c>
      <c r="E3" s="15">
        <v>47.426400368977902</v>
      </c>
      <c r="G3" t="s">
        <v>3</v>
      </c>
      <c r="H3" s="5">
        <v>-6.3503732496558349</v>
      </c>
    </row>
    <row r="4" spans="1:16" ht="15" thickBot="1" x14ac:dyDescent="0.4">
      <c r="A4" t="s">
        <v>4</v>
      </c>
      <c r="B4" s="6">
        <v>-3.8575683527061004</v>
      </c>
      <c r="D4" t="s">
        <v>5</v>
      </c>
      <c r="E4" s="7">
        <v>0.4</v>
      </c>
      <c r="G4" t="s">
        <v>6</v>
      </c>
      <c r="H4" s="8">
        <v>0.14104147911071777</v>
      </c>
    </row>
    <row r="5" spans="1:16" x14ac:dyDescent="0.35">
      <c r="A5" t="s">
        <v>7</v>
      </c>
      <c r="B5" s="9">
        <v>-120.35891824579134</v>
      </c>
      <c r="H5" s="10"/>
    </row>
    <row r="6" spans="1:16" x14ac:dyDescent="0.35">
      <c r="A6" t="s">
        <v>8</v>
      </c>
      <c r="B6" s="9">
        <v>-29.061266183853149</v>
      </c>
      <c r="E6" t="s">
        <v>9</v>
      </c>
      <c r="H6" s="10"/>
    </row>
    <row r="7" spans="1:16" ht="15" thickBot="1" x14ac:dyDescent="0.4">
      <c r="A7" t="s">
        <v>10</v>
      </c>
      <c r="B7" s="14">
        <v>-12.801724333397217</v>
      </c>
      <c r="E7" t="s">
        <v>11</v>
      </c>
      <c r="H7" s="10"/>
    </row>
    <row r="8" spans="1:16" x14ac:dyDescent="0.35">
      <c r="M8" t="s">
        <v>12</v>
      </c>
    </row>
    <row r="9" spans="1:16" x14ac:dyDescent="0.3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5">
      <c r="A10">
        <v>1</v>
      </c>
      <c r="B10" s="11">
        <f>0.5*CTDC</f>
        <v>-60.179459122895672</v>
      </c>
      <c r="C10" s="11"/>
      <c r="D10" s="11">
        <f>Cland</f>
        <v>-10</v>
      </c>
      <c r="E10" s="11"/>
      <c r="F10" s="11"/>
      <c r="G10" s="11"/>
      <c r="H10" s="11"/>
      <c r="I10" s="11"/>
      <c r="J10" s="11"/>
      <c r="L10" s="11">
        <f>B10+D10</f>
        <v>-70.179459122895679</v>
      </c>
      <c r="M10" s="11">
        <f t="shared" ref="M10:M24" si="0">L10/(1+i)^(A10-1)</f>
        <v>-70.179459122895679</v>
      </c>
      <c r="N10" s="11">
        <f>M10</f>
        <v>-70.179459122895679</v>
      </c>
    </row>
    <row r="11" spans="1:16" x14ac:dyDescent="0.35">
      <c r="A11">
        <v>2</v>
      </c>
      <c r="B11" s="11">
        <f>0.5*CTDC</f>
        <v>-60.179459122895672</v>
      </c>
      <c r="C11" s="11">
        <f>WC</f>
        <v>-29.061266183853149</v>
      </c>
      <c r="D11" s="11"/>
      <c r="E11" s="11"/>
      <c r="F11" s="11">
        <f>Cstart</f>
        <v>-12.801724333397217</v>
      </c>
      <c r="G11" s="11"/>
      <c r="H11" s="11"/>
      <c r="I11" s="11"/>
      <c r="J11" s="11"/>
      <c r="L11">
        <f>B11+C11+F11</f>
        <v>-102.04244964014605</v>
      </c>
      <c r="M11" s="11">
        <f t="shared" si="0"/>
        <v>-89.42922015391926</v>
      </c>
      <c r="N11" s="11">
        <f>N10+M11</f>
        <v>-159.60867927681494</v>
      </c>
    </row>
    <row r="12" spans="1:16" x14ac:dyDescent="0.35">
      <c r="A12">
        <v>3</v>
      </c>
      <c r="B12" s="11"/>
      <c r="C12" s="11"/>
      <c r="D12" s="11"/>
      <c r="E12" s="11">
        <f t="shared" ref="E12:E24" si="1">Croyal</f>
        <v>-3.8575683527061004</v>
      </c>
      <c r="F12" s="11"/>
      <c r="G12" s="11"/>
      <c r="H12" s="11">
        <f>P12*-CTDC</f>
        <v>17.199289417323584</v>
      </c>
      <c r="I12" s="11">
        <f>0.5*S</f>
        <v>23.713200184488951</v>
      </c>
      <c r="J12" s="11">
        <f>0.5*COS</f>
        <v>-3.1751866248279175</v>
      </c>
      <c r="K12" s="11">
        <f>(1-tax)*(I12-J12-H12)</f>
        <v>5.8134584351959715</v>
      </c>
      <c r="L12" s="11">
        <f t="shared" ref="L12:L23" si="2">K12+H12+E12</f>
        <v>19.155179499813457</v>
      </c>
      <c r="M12" s="11">
        <f t="shared" si="0"/>
        <v>14.712394502979988</v>
      </c>
      <c r="N12" s="11">
        <f t="shared" ref="N12:N23" si="3">N11+M12</f>
        <v>-144.89628477383496</v>
      </c>
      <c r="P12" s="12">
        <v>0.1429</v>
      </c>
    </row>
    <row r="13" spans="1:16" x14ac:dyDescent="0.35">
      <c r="A13">
        <v>4</v>
      </c>
      <c r="B13" s="11"/>
      <c r="C13" s="11"/>
      <c r="D13" s="11"/>
      <c r="E13" s="11">
        <f t="shared" si="1"/>
        <v>-3.8575683527061004</v>
      </c>
      <c r="F13" s="11"/>
      <c r="G13" s="11"/>
      <c r="H13" s="11">
        <f t="shared" ref="H13:H19" si="4">P13*-CTDC</f>
        <v>29.475899078394299</v>
      </c>
      <c r="I13" s="11">
        <f>0.8*S</f>
        <v>37.941120295182323</v>
      </c>
      <c r="J13" s="11">
        <f>0.8*COS</f>
        <v>-5.0802985997246681</v>
      </c>
      <c r="K13" s="11">
        <f t="shared" ref="K13:K24" si="5">(1-tax)*(I13-J13-H13)</f>
        <v>8.1273118899076167</v>
      </c>
      <c r="L13" s="11">
        <f t="shared" si="2"/>
        <v>33.745642615595813</v>
      </c>
      <c r="M13" s="11">
        <f t="shared" si="0"/>
        <v>22.715034788969891</v>
      </c>
      <c r="N13" s="11">
        <f t="shared" si="3"/>
        <v>-122.18124998486508</v>
      </c>
      <c r="P13" s="12">
        <v>0.24490000000000001</v>
      </c>
    </row>
    <row r="14" spans="1:16" x14ac:dyDescent="0.35">
      <c r="A14">
        <v>5</v>
      </c>
      <c r="B14" s="11"/>
      <c r="C14" s="11"/>
      <c r="D14" s="11"/>
      <c r="E14" s="11">
        <f t="shared" si="1"/>
        <v>-3.8575683527061004</v>
      </c>
      <c r="F14" s="11"/>
      <c r="G14" s="11"/>
      <c r="H14" s="11">
        <f t="shared" si="4"/>
        <v>21.050774801188908</v>
      </c>
      <c r="I14" s="11">
        <f t="shared" ref="I14:I24" si="6">S</f>
        <v>47.426400368977902</v>
      </c>
      <c r="J14" s="11">
        <f t="shared" ref="J14:J24" si="7">COS</f>
        <v>-6.3503732496558349</v>
      </c>
      <c r="K14" s="11">
        <f t="shared" si="5"/>
        <v>19.635599290466899</v>
      </c>
      <c r="L14" s="11">
        <f t="shared" si="2"/>
        <v>36.828805738949704</v>
      </c>
      <c r="M14" s="11">
        <f t="shared" si="0"/>
        <v>21.726106665093031</v>
      </c>
      <c r="N14" s="11">
        <f t="shared" si="3"/>
        <v>-100.45514331977205</v>
      </c>
      <c r="P14" s="12">
        <v>0.1749</v>
      </c>
    </row>
    <row r="15" spans="1:16" x14ac:dyDescent="0.35">
      <c r="A15">
        <v>6</v>
      </c>
      <c r="B15" s="11"/>
      <c r="C15" s="11"/>
      <c r="D15" s="11"/>
      <c r="E15" s="11">
        <f t="shared" si="1"/>
        <v>-3.8575683527061004</v>
      </c>
      <c r="F15" s="11"/>
      <c r="G15" s="11"/>
      <c r="H15" s="11">
        <f t="shared" si="4"/>
        <v>15.032828888899338</v>
      </c>
      <c r="I15" s="11">
        <f t="shared" si="6"/>
        <v>47.426400368977902</v>
      </c>
      <c r="J15" s="11">
        <f t="shared" si="7"/>
        <v>-6.3503732496558349</v>
      </c>
      <c r="K15" s="11">
        <f t="shared" si="5"/>
        <v>23.24636683784064</v>
      </c>
      <c r="L15" s="11">
        <f t="shared" si="2"/>
        <v>34.421627374033875</v>
      </c>
      <c r="M15" s="11">
        <f t="shared" si="0"/>
        <v>17.796075438161026</v>
      </c>
      <c r="N15" s="11">
        <f t="shared" si="3"/>
        <v>-82.659067881611023</v>
      </c>
      <c r="P15" s="12">
        <v>0.1249</v>
      </c>
    </row>
    <row r="16" spans="1:16" x14ac:dyDescent="0.35">
      <c r="A16">
        <v>7</v>
      </c>
      <c r="B16" s="11"/>
      <c r="C16" s="11"/>
      <c r="D16" s="11"/>
      <c r="E16" s="11">
        <f t="shared" si="1"/>
        <v>-3.8575683527061004</v>
      </c>
      <c r="F16" s="11"/>
      <c r="G16" s="11"/>
      <c r="H16" s="11">
        <f t="shared" si="4"/>
        <v>10.748051399349167</v>
      </c>
      <c r="I16" s="11">
        <f t="shared" si="6"/>
        <v>47.426400368977902</v>
      </c>
      <c r="J16" s="11">
        <f t="shared" si="7"/>
        <v>-6.3503732496558349</v>
      </c>
      <c r="K16" s="11">
        <f t="shared" si="5"/>
        <v>25.817233331570744</v>
      </c>
      <c r="L16" s="11">
        <f t="shared" si="2"/>
        <v>32.70771637821381</v>
      </c>
      <c r="M16" s="11">
        <f t="shared" si="0"/>
        <v>14.819775685815348</v>
      </c>
      <c r="N16" s="11">
        <f t="shared" si="3"/>
        <v>-67.839292195795679</v>
      </c>
      <c r="P16" s="12">
        <v>8.9300000000000004E-2</v>
      </c>
    </row>
    <row r="17" spans="1:16" x14ac:dyDescent="0.35">
      <c r="A17">
        <v>8</v>
      </c>
      <c r="B17" s="11"/>
      <c r="C17" s="11"/>
      <c r="D17" s="11"/>
      <c r="E17" s="11">
        <f t="shared" si="1"/>
        <v>-3.8575683527061004</v>
      </c>
      <c r="F17" s="11"/>
      <c r="G17" s="11"/>
      <c r="H17" s="11">
        <f t="shared" si="4"/>
        <v>10.736015507524588</v>
      </c>
      <c r="I17" s="11">
        <f t="shared" si="6"/>
        <v>47.426400368977902</v>
      </c>
      <c r="J17" s="11">
        <f t="shared" si="7"/>
        <v>-6.3503732496558349</v>
      </c>
      <c r="K17" s="11">
        <f t="shared" si="5"/>
        <v>25.824454866665494</v>
      </c>
      <c r="L17" s="11">
        <f t="shared" si="2"/>
        <v>32.702902021483979</v>
      </c>
      <c r="M17" s="11">
        <f t="shared" si="0"/>
        <v>12.986025999392918</v>
      </c>
      <c r="N17" s="11">
        <f t="shared" si="3"/>
        <v>-54.853266196402757</v>
      </c>
      <c r="P17" s="12">
        <v>8.9200000000000002E-2</v>
      </c>
    </row>
    <row r="18" spans="1:16" x14ac:dyDescent="0.35">
      <c r="A18">
        <v>9</v>
      </c>
      <c r="B18" s="11"/>
      <c r="C18" s="11"/>
      <c r="D18" s="11"/>
      <c r="E18" s="11">
        <f t="shared" si="1"/>
        <v>-3.8575683527061004</v>
      </c>
      <c r="F18" s="11"/>
      <c r="G18" s="11"/>
      <c r="H18" s="11">
        <f t="shared" si="4"/>
        <v>10.748051399349167</v>
      </c>
      <c r="I18" s="11">
        <f t="shared" si="6"/>
        <v>47.426400368977902</v>
      </c>
      <c r="J18" s="11">
        <f t="shared" si="7"/>
        <v>-6.3503732496558349</v>
      </c>
      <c r="K18" s="11">
        <f t="shared" si="5"/>
        <v>25.817233331570744</v>
      </c>
      <c r="L18" s="11">
        <f t="shared" si="2"/>
        <v>32.70771637821381</v>
      </c>
      <c r="M18" s="11">
        <f t="shared" si="0"/>
        <v>11.38252900932145</v>
      </c>
      <c r="N18" s="11">
        <f t="shared" si="3"/>
        <v>-43.470737187081305</v>
      </c>
      <c r="P18" s="12">
        <v>8.9300000000000004E-2</v>
      </c>
    </row>
    <row r="19" spans="1:16" x14ac:dyDescent="0.35">
      <c r="A19">
        <v>10</v>
      </c>
      <c r="B19" s="11"/>
      <c r="C19" s="11"/>
      <c r="D19" s="11"/>
      <c r="E19" s="11">
        <f t="shared" si="1"/>
        <v>-3.8575683527061004</v>
      </c>
      <c r="F19" s="11"/>
      <c r="G19" s="11"/>
      <c r="H19" s="11">
        <f t="shared" si="4"/>
        <v>5.3680077537622939</v>
      </c>
      <c r="I19" s="11">
        <f t="shared" si="6"/>
        <v>47.426400368977902</v>
      </c>
      <c r="J19" s="11">
        <f t="shared" si="7"/>
        <v>-6.3503732496558349</v>
      </c>
      <c r="K19" s="11">
        <f t="shared" si="5"/>
        <v>29.045259518922869</v>
      </c>
      <c r="L19" s="11">
        <f t="shared" si="2"/>
        <v>30.555698919979061</v>
      </c>
      <c r="M19" s="11">
        <f t="shared" si="0"/>
        <v>9.3192150272788172</v>
      </c>
      <c r="N19" s="11">
        <f t="shared" si="3"/>
        <v>-34.151522159802489</v>
      </c>
      <c r="P19" s="12">
        <v>4.4600000000000001E-2</v>
      </c>
    </row>
    <row r="20" spans="1:16" x14ac:dyDescent="0.35">
      <c r="A20">
        <v>11</v>
      </c>
      <c r="B20" s="11"/>
      <c r="C20" s="11"/>
      <c r="D20" s="11"/>
      <c r="E20" s="11">
        <f t="shared" si="1"/>
        <v>-3.8575683527061004</v>
      </c>
      <c r="F20" s="11"/>
      <c r="G20" s="11"/>
      <c r="H20" s="11"/>
      <c r="I20" s="11">
        <f t="shared" si="6"/>
        <v>47.426400368977902</v>
      </c>
      <c r="J20" s="11">
        <f t="shared" si="7"/>
        <v>-6.3503732496558349</v>
      </c>
      <c r="K20" s="11">
        <f t="shared" si="5"/>
        <v>32.26606417118024</v>
      </c>
      <c r="L20" s="11">
        <f t="shared" si="2"/>
        <v>28.40849581847414</v>
      </c>
      <c r="M20" s="11">
        <f t="shared" si="0"/>
        <v>7.593358729024593</v>
      </c>
      <c r="N20" s="11">
        <f t="shared" si="3"/>
        <v>-26.558163430777896</v>
      </c>
    </row>
    <row r="21" spans="1:16" x14ac:dyDescent="0.35">
      <c r="A21">
        <v>12</v>
      </c>
      <c r="B21" s="11"/>
      <c r="C21" s="11"/>
      <c r="D21" s="11"/>
      <c r="E21" s="11">
        <f t="shared" si="1"/>
        <v>-3.8575683527061004</v>
      </c>
      <c r="F21" s="11"/>
      <c r="G21" s="11"/>
      <c r="H21" s="11"/>
      <c r="I21" s="11">
        <f t="shared" si="6"/>
        <v>47.426400368977902</v>
      </c>
      <c r="J21" s="11">
        <f t="shared" si="7"/>
        <v>-6.3503732496558349</v>
      </c>
      <c r="K21" s="11">
        <f t="shared" si="5"/>
        <v>32.26606417118024</v>
      </c>
      <c r="L21" s="11">
        <f t="shared" si="2"/>
        <v>28.40849581847414</v>
      </c>
      <c r="M21" s="11">
        <f t="shared" si="0"/>
        <v>6.6547613456984527</v>
      </c>
      <c r="N21" s="11">
        <f t="shared" si="3"/>
        <v>-19.903402085079442</v>
      </c>
    </row>
    <row r="22" spans="1:16" x14ac:dyDescent="0.35">
      <c r="A22">
        <v>13</v>
      </c>
      <c r="B22" s="11"/>
      <c r="C22" s="11"/>
      <c r="D22" s="11"/>
      <c r="E22" s="11">
        <f t="shared" si="1"/>
        <v>-3.8575683527061004</v>
      </c>
      <c r="F22" s="11"/>
      <c r="G22" s="11"/>
      <c r="H22" s="11"/>
      <c r="I22" s="11">
        <f t="shared" si="6"/>
        <v>47.426400368977902</v>
      </c>
      <c r="J22" s="11">
        <f t="shared" si="7"/>
        <v>-6.3503732496558349</v>
      </c>
      <c r="K22" s="11">
        <f t="shared" si="5"/>
        <v>32.26606417118024</v>
      </c>
      <c r="L22" s="11">
        <f t="shared" si="2"/>
        <v>28.40849581847414</v>
      </c>
      <c r="M22" s="11">
        <f t="shared" si="0"/>
        <v>5.8321817984083353</v>
      </c>
      <c r="N22" s="11">
        <f t="shared" si="3"/>
        <v>-14.071220286671107</v>
      </c>
    </row>
    <row r="23" spans="1:16" ht="15" thickBot="1" x14ac:dyDescent="0.4">
      <c r="A23">
        <v>14</v>
      </c>
      <c r="B23" s="11"/>
      <c r="C23" s="11"/>
      <c r="D23" s="11"/>
      <c r="E23" s="11">
        <f t="shared" si="1"/>
        <v>-3.8575683527061004</v>
      </c>
      <c r="F23" s="11"/>
      <c r="G23" s="11"/>
      <c r="H23" s="11"/>
      <c r="I23" s="11">
        <f t="shared" si="6"/>
        <v>47.426400368977902</v>
      </c>
      <c r="J23" s="11">
        <f t="shared" si="7"/>
        <v>-6.3503732496558349</v>
      </c>
      <c r="K23" s="11">
        <f t="shared" si="5"/>
        <v>32.26606417118024</v>
      </c>
      <c r="L23" s="11">
        <f t="shared" si="2"/>
        <v>28.40849581847414</v>
      </c>
      <c r="M23" s="11">
        <f t="shared" si="0"/>
        <v>5.111279392712091</v>
      </c>
      <c r="N23" s="11">
        <f t="shared" si="3"/>
        <v>-8.9599408939590148</v>
      </c>
    </row>
    <row r="24" spans="1:16" ht="15" thickBot="1" x14ac:dyDescent="0.4">
      <c r="A24">
        <v>15</v>
      </c>
      <c r="B24" s="11"/>
      <c r="C24" s="11">
        <f>-WC</f>
        <v>29.061266183853149</v>
      </c>
      <c r="D24" s="11"/>
      <c r="E24" s="11">
        <f t="shared" si="1"/>
        <v>-3.8575683527061004</v>
      </c>
      <c r="F24" s="11"/>
      <c r="G24" s="11"/>
      <c r="H24" s="11"/>
      <c r="I24" s="11">
        <f t="shared" si="6"/>
        <v>47.426400368977902</v>
      </c>
      <c r="J24" s="11">
        <f t="shared" si="7"/>
        <v>-6.3503732496558349</v>
      </c>
      <c r="K24" s="11">
        <f t="shared" si="5"/>
        <v>32.26606417118024</v>
      </c>
      <c r="L24" s="11">
        <f>C24+K24+G24+E24</f>
        <v>57.469762002327286</v>
      </c>
      <c r="M24" s="11">
        <f t="shared" si="0"/>
        <v>9.061901730422429</v>
      </c>
      <c r="N24" s="13">
        <f>N23+M24</f>
        <v>0.10196083646341414</v>
      </c>
    </row>
    <row r="25" spans="1:16" x14ac:dyDescent="0.35">
      <c r="C25" s="3"/>
      <c r="D25" s="2"/>
      <c r="E25" s="4"/>
      <c r="F25" s="2"/>
      <c r="G25" s="1"/>
      <c r="H25" s="1"/>
    </row>
    <row r="26" spans="1:16" x14ac:dyDescent="0.35">
      <c r="C26" s="3"/>
      <c r="D26" s="2"/>
      <c r="E26" s="4"/>
      <c r="F26" s="2"/>
      <c r="G26" s="1"/>
      <c r="H26" s="1"/>
    </row>
    <row r="27" spans="1:16" x14ac:dyDescent="0.3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889000</xdr:colOff>
                    <xdr:row>25</xdr:row>
                    <xdr:rowOff>82550</xdr:rowOff>
                  </from>
                  <to>
                    <xdr:col>4</xdr:col>
                    <xdr:colOff>406400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Form">
                <anchor moveWithCells="1" sizeWithCells="1">
                  <from>
                    <xdr:col>9</xdr:col>
                    <xdr:colOff>203200</xdr:colOff>
                    <xdr:row>0</xdr:row>
                    <xdr:rowOff>171450</xdr:rowOff>
                  </from>
                  <to>
                    <xdr:col>10</xdr:col>
                    <xdr:colOff>520700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2"/>
  <sheetViews>
    <sheetView workbookViewId="0"/>
  </sheetViews>
  <sheetFormatPr defaultRowHeight="14.5" x14ac:dyDescent="0.35"/>
  <sheetData>
    <row r="1" spans="1:2" x14ac:dyDescent="0.35">
      <c r="A1">
        <v>-28</v>
      </c>
      <c r="B1">
        <v>3</v>
      </c>
    </row>
    <row r="2" spans="1:2" x14ac:dyDescent="0.35">
      <c r="A2">
        <v>-20</v>
      </c>
      <c r="B2">
        <v>11</v>
      </c>
    </row>
    <row r="3" spans="1:2" x14ac:dyDescent="0.35">
      <c r="A3">
        <v>-12</v>
      </c>
      <c r="B3">
        <v>11</v>
      </c>
    </row>
    <row r="4" spans="1:2" x14ac:dyDescent="0.35">
      <c r="A4">
        <v>-4</v>
      </c>
      <c r="B4">
        <v>27</v>
      </c>
    </row>
    <row r="5" spans="1:2" x14ac:dyDescent="0.35">
      <c r="A5">
        <v>4</v>
      </c>
      <c r="B5">
        <v>35</v>
      </c>
    </row>
    <row r="6" spans="1:2" x14ac:dyDescent="0.35">
      <c r="A6">
        <v>12</v>
      </c>
      <c r="B6">
        <v>68</v>
      </c>
    </row>
    <row r="7" spans="1:2" x14ac:dyDescent="0.35">
      <c r="A7">
        <v>20</v>
      </c>
      <c r="B7">
        <v>96</v>
      </c>
    </row>
    <row r="8" spans="1:2" x14ac:dyDescent="0.35">
      <c r="A8">
        <v>28</v>
      </c>
      <c r="B8">
        <v>90</v>
      </c>
    </row>
    <row r="9" spans="1:2" x14ac:dyDescent="0.35">
      <c r="A9">
        <v>36</v>
      </c>
      <c r="B9">
        <v>100</v>
      </c>
    </row>
    <row r="10" spans="1:2" x14ac:dyDescent="0.35">
      <c r="A10">
        <v>44</v>
      </c>
      <c r="B10">
        <v>105</v>
      </c>
    </row>
    <row r="11" spans="1:2" x14ac:dyDescent="0.35">
      <c r="A11">
        <v>52</v>
      </c>
      <c r="B11">
        <v>106</v>
      </c>
    </row>
    <row r="12" spans="1:2" x14ac:dyDescent="0.35">
      <c r="A12">
        <v>60</v>
      </c>
      <c r="B12">
        <v>85</v>
      </c>
    </row>
    <row r="13" spans="1:2" x14ac:dyDescent="0.35">
      <c r="A13">
        <v>68</v>
      </c>
      <c r="B13">
        <v>70</v>
      </c>
    </row>
    <row r="14" spans="1:2" x14ac:dyDescent="0.35">
      <c r="A14">
        <v>76</v>
      </c>
      <c r="B14">
        <v>62</v>
      </c>
    </row>
    <row r="15" spans="1:2" x14ac:dyDescent="0.35">
      <c r="A15">
        <v>84</v>
      </c>
      <c r="B15">
        <v>48</v>
      </c>
    </row>
    <row r="16" spans="1:2" x14ac:dyDescent="0.35">
      <c r="A16">
        <v>92</v>
      </c>
      <c r="B16">
        <v>36</v>
      </c>
    </row>
    <row r="17" spans="1:2" x14ac:dyDescent="0.35">
      <c r="A17">
        <v>100</v>
      </c>
      <c r="B17">
        <v>18</v>
      </c>
    </row>
    <row r="18" spans="1:2" x14ac:dyDescent="0.35">
      <c r="A18">
        <v>108</v>
      </c>
      <c r="B18">
        <v>15</v>
      </c>
    </row>
    <row r="19" spans="1:2" x14ac:dyDescent="0.35">
      <c r="A19">
        <v>116</v>
      </c>
      <c r="B19">
        <v>5</v>
      </c>
    </row>
    <row r="20" spans="1:2" x14ac:dyDescent="0.35">
      <c r="A20">
        <v>124</v>
      </c>
      <c r="B20">
        <v>3</v>
      </c>
    </row>
    <row r="21" spans="1:2" x14ac:dyDescent="0.35">
      <c r="A21">
        <v>132</v>
      </c>
      <c r="B21">
        <v>2</v>
      </c>
    </row>
    <row r="22" spans="1:2" x14ac:dyDescent="0.35">
      <c r="A22">
        <v>140</v>
      </c>
      <c r="B22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3E08DF8C3D4D45AC38D3A53AE81F14" ma:contentTypeVersion="13" ma:contentTypeDescription="Create a new document." ma:contentTypeScope="" ma:versionID="1324ee17f470207a921c29bcb984499d">
  <xsd:schema xmlns:xsd="http://www.w3.org/2001/XMLSchema" xmlns:xs="http://www.w3.org/2001/XMLSchema" xmlns:p="http://schemas.microsoft.com/office/2006/metadata/properties" xmlns:ns3="ebb80eae-2576-4d75-92ba-8085a420e077" xmlns:ns4="11860640-49bd-42b2-ae86-c0fbb8cc1589" targetNamespace="http://schemas.microsoft.com/office/2006/metadata/properties" ma:root="true" ma:fieldsID="dda8c75a45036634b5a275a61c789a41" ns3:_="" ns4:_="">
    <xsd:import namespace="ebb80eae-2576-4d75-92ba-8085a420e077"/>
    <xsd:import namespace="11860640-49bd-42b2-ae86-c0fbb8cc158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b80eae-2576-4d75-92ba-8085a420e0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860640-49bd-42b2-ae86-c0fbb8cc1589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5F9BDA-59A5-4386-8604-29C07E41FBC9}">
  <ds:schemaRefs>
    <ds:schemaRef ds:uri="11860640-49bd-42b2-ae86-c0fbb8cc1589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  <ds:schemaRef ds:uri="http://schemas.microsoft.com/office/infopath/2007/PartnerControls"/>
    <ds:schemaRef ds:uri="ebb80eae-2576-4d75-92ba-8085a420e077"/>
  </ds:schemaRefs>
</ds:datastoreItem>
</file>

<file path=customXml/itemProps2.xml><?xml version="1.0" encoding="utf-8"?>
<ds:datastoreItem xmlns:ds="http://schemas.openxmlformats.org/officeDocument/2006/customXml" ds:itemID="{E2DDB0C1-B2F7-4D48-9294-21ADF53EA4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6A17E3-0BAE-4B27-83AA-68E989E738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b80eae-2576-4d75-92ba-8085a420e077"/>
    <ds:schemaRef ds:uri="11860640-49bd-42b2-ae86-c0fbb8cc15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Patron</cp:lastModifiedBy>
  <dcterms:created xsi:type="dcterms:W3CDTF">2013-10-29T18:00:12Z</dcterms:created>
  <dcterms:modified xsi:type="dcterms:W3CDTF">2021-12-07T00:44:32Z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0x010100D33E08DF8C3D4D45AC38D3A53AE81F14</vt:lpwstr>
  </property>
</Properties>
</file>